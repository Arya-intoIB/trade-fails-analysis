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xr:revisionPtr revIDLastSave="0" documentId="8_{94F0399C-47E0-4447-A313-0F6F21111FEC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Trade Data" sheetId="1" r:id="rId1"/>
    <sheet name="SummaryTota" sheetId="3" r:id="rId2"/>
    <sheet name="By Client" sheetId="5" r:id="rId3"/>
    <sheet name="By Issue" sheetId="4" r:id="rId4"/>
    <sheet name="Findings" sheetId="6" r:id="rId5"/>
  </sheets>
  <calcPr calcId="191028"/>
  <pivotCaches>
    <pivotCache cacheId="9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J2" i="1"/>
  <c r="H56" i="1"/>
  <c r="H2" i="1"/>
  <c r="M1" i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<sst xmlns="http://schemas.openxmlformats.org/spreadsheetml/2006/main" count="330" uniqueCount="115">
  <si>
    <t>Transaction ID</t>
  </si>
  <si>
    <t>Client Name</t>
  </si>
  <si>
    <t>Transaction Type</t>
  </si>
  <si>
    <t>Amount</t>
  </si>
  <si>
    <t>Date</t>
  </si>
  <si>
    <t>Status</t>
  </si>
  <si>
    <t>Notes</t>
  </si>
  <si>
    <t>Issue Category</t>
  </si>
  <si>
    <t>Days Pending</t>
  </si>
  <si>
    <t>Escalate</t>
  </si>
  <si>
    <t>As-of-date</t>
  </si>
  <si>
    <t>TXN001</t>
  </si>
  <si>
    <t>Client A</t>
  </si>
  <si>
    <t>Buy</t>
  </si>
  <si>
    <t>Pending</t>
  </si>
  <si>
    <t>Awaiting funds transfer</t>
  </si>
  <si>
    <t>TXN002</t>
  </si>
  <si>
    <t>Client B</t>
  </si>
  <si>
    <t>Sell</t>
  </si>
  <si>
    <t>Awaiting documentation</t>
  </si>
  <si>
    <t>TXN003</t>
  </si>
  <si>
    <t>Completed</t>
  </si>
  <si>
    <t>Settled successfully</t>
  </si>
  <si>
    <t>TXN004</t>
  </si>
  <si>
    <t>Awaiting approval</t>
  </si>
  <si>
    <t>TXN005</t>
  </si>
  <si>
    <t>TXN006</t>
  </si>
  <si>
    <t>TXN007</t>
  </si>
  <si>
    <t>TXN008</t>
  </si>
  <si>
    <t>TXN009</t>
  </si>
  <si>
    <t>Client C</t>
  </si>
  <si>
    <t>TXN010</t>
  </si>
  <si>
    <t>Pending due to compliance review</t>
  </si>
  <si>
    <t>TXN011</t>
  </si>
  <si>
    <t>TXN012</t>
  </si>
  <si>
    <t>TXN013</t>
  </si>
  <si>
    <t>Client D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</si>
  <si>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</si>
  <si>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</si>
  <si>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</si>
  <si>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</si>
  <si>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</si>
  <si>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</si>
  <si>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</si>
  <si>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</si>
  <si>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</si>
  <si>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</si>
  <si>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Funds not available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</si>
  <si>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</si>
  <si>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</si>
  <si>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</si>
  <si>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</si>
  <si>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</si>
  <si>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</si>
  <si>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</si>
  <si>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</si>
  <si>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</si>
  <si>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</si>
  <si>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</si>
  <si>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</si>
  <si>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</si>
  <si>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</si>
  <si>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</si>
  <si>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Technical issue detected</t>
  </si>
  <si>
    <t>TXN039</t>
  </si>
  <si>
    <t>TXN040</t>
  </si>
  <si>
    <t>TXN041</t>
  </si>
  <si>
    <t>TXN042</t>
  </si>
  <si>
    <t>TXN043</t>
  </si>
  <si>
    <t>Settlement instruction mismatch</t>
  </si>
  <si>
    <t>TXN044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</si>
  <si>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</si>
  <si>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</si>
  <si>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</si>
  <si>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</si>
  <si>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</si>
  <si>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</si>
  <si>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</si>
  <si>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</si>
  <si>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</si>
  <si>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</si>
  <si>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</si>
  <si>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Total Trades</t>
  </si>
  <si>
    <t>Pending Trades</t>
  </si>
  <si>
    <t>Completed Trades</t>
  </si>
  <si>
    <t>Total Value</t>
  </si>
  <si>
    <t>Pending Value%</t>
  </si>
  <si>
    <t>Trades Pending %</t>
  </si>
  <si>
    <t xml:space="preserve">Value Pending </t>
  </si>
  <si>
    <t>Sum of Amount</t>
  </si>
  <si>
    <t>Grand Total</t>
  </si>
  <si>
    <t>Compliance / Approval / Docs</t>
  </si>
  <si>
    <t>Funding</t>
  </si>
  <si>
    <t>Other</t>
  </si>
  <si>
    <t>Technical</t>
  </si>
  <si>
    <t>Trade Fail Analysis</t>
  </si>
  <si>
    <t>Prepared by : Aryaditya Majumdar</t>
  </si>
  <si>
    <t>Note- I did this analysis using with sample data (not real client or bank data)</t>
  </si>
  <si>
    <t>1.Problem</t>
  </si>
  <si>
    <t>Many trades are not settling on time.I analysed 55 trades to find the main causes of failed trades and which clients are most affected.</t>
  </si>
  <si>
    <t>2.Key Numbers</t>
  </si>
  <si>
    <t>Total Trades: 55</t>
  </si>
  <si>
    <t>Pending Trades :27(49%)</t>
  </si>
  <si>
    <t>Pending Value: $53.8M</t>
  </si>
  <si>
    <t>3.Charts</t>
  </si>
  <si>
    <t xml:space="preserve">4. Findings </t>
  </si>
  <si>
    <t>1. Compliance approval and document delays are the biggest cause:$41.1M ( 80% of pending value)</t>
  </si>
  <si>
    <t>2. Funding problems are $7.05M (13%)</t>
  </si>
  <si>
    <t>3. Client B has the most pending value: $27.25M (51%), then Client A: $16.5M.</t>
  </si>
  <si>
    <t>4. Technical issues are small: $1.15M (2%)</t>
  </si>
  <si>
    <t>5.19 pending trades  are older than 3 days and need escalation,worth $38.15M.</t>
  </si>
  <si>
    <t>5.Recommendations</t>
  </si>
  <si>
    <t>1.Do compliance and documents check before the trades</t>
  </si>
  <si>
    <t>2.Check the client have enough cash ine day before the settlement.</t>
  </si>
  <si>
    <t>3.Set the limits for approvals and escalate automatically when the limit is missed.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</si>
</sst>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yyyy\-mm\-dd"/>
    <numFmt numFmtId="166" formatCode="&quot;$&quot;#,##0.00"/>
  </numFmts>
  <fonts count="9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8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5" xfId="0" applyNumberFormat="1" applyBorder="1"/>
    <xf numFmtId="9" fontId="0" fillId="0" borderId="5" xfId="0" applyNumberFormat="1" applyBorder="1"/>
    <xf numFmtId="0" fontId="0" fillId="0" borderId="6" xfId="0" applyBorder="1"/>
    <xf numFmtId="9" fontId="0" fillId="0" borderId="7" xfId="0" applyNumberFormat="1" applyBorder="1"/>
    <xf numFmtId="0" fontId="0" fillId="0" borderId="0" xfId="0" pivotButton="1"/>
    <xf numFmtId="164" fontId="0" fillId="0" borderId="0" xfId="0" applyNumberFormat="1"/>
    <xf numFmtId="0" fontId="4" fillId="0" borderId="0" xfId="0" applyFont="1"/>
    <xf numFmtId="0" fontId="5" fillId="0" borderId="0" xfId="0" applyFont="1" applyBorder="1" applyAlignment="1"/>
    <xf numFmtId="0" fontId="4" fillId="3" borderId="0" xfId="0" applyFont="1" applyFill="1" applyAlignment="1"/>
    <xf numFmtId="0" fontId="6" fillId="0" borderId="0" xfId="0" applyFont="1"/>
    <xf numFmtId="0" fontId="7" fillId="0" borderId="0" xfId="0" applyFont="1"/>
    <xf numFmtId="0" fontId="0" fillId="0" borderId="9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0" fontId="8" fillId="0" borderId="8" xfId="0" applyFont="1" applyBorder="1" applyAlignment="1"/>
    <xf numFmtId="0" fontId="8" fillId="0" borderId="0" xfId="0" applyFont="1" applyBorder="1" applyAlignment="1"/>
    <xf numFmtId="14" fontId="4" fillId="0" borderId="0" xfId="0" applyNumberFormat="1" applyFont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[Trade_Fails_Practice_Data.xlsx]By Client!PivotTable5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Pending Value by Client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Client'!$B$3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Client'!$A$4:$A$8</c:f>
              <c:strCache>
                <c:ptCount val="4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</c:strCache>
            </c:strRef>
          </c:cat>
          <c:val>
            <c:numRef>
              <c:f>'By Client'!$B$4:$B$8</c:f>
              <c:numCache>
                <c:formatCode>\$#,##0</c:formatCode>
                <c:ptCount val="4"/>
                <c:pt idx="0">
                  <c:v>16500000</c:v>
                </c:pt>
                <c:pt idx="1">
                  <c:v>27250000</c:v>
                </c:pt>
                <c:pt idx="2">
                  <c:v>6900000</c:v>
                </c:pt>
                <c:pt idx="3">
                  <c:v>3150000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C-4060-BFAC-F49125CE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175176"/>
        <c:axId val="1695177224"/>
      </c:barChart>
      <c:catAx>
        <c:axId val="169517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77224"/>
        <c:crosses val="autoZero"/>
        <c:auto val="1"/>
        <c:lblAlgn val="ctr"/>
        <c:lblOffset val="100"/>
        <c:noMultiLvlLbl val="0"/>
      </c:catAx>
      <c:valAx>
        <c:axId val="169517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[Trade_Fails_Practice_Data.xlsx]By Issue!PivotTable3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Pending Value by Issue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Issue'!$B$3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Issue'!$A$4:$A$8</c:f>
              <c:strCache>
                <c:ptCount val="4"/>
                <c:pt idx="0">
                  <c:v>Compliance / Approval / Docs</c:v>
                </c:pt>
                <c:pt idx="1">
                  <c:v>Funding</c:v>
                </c:pt>
                <c:pt idx="2">
                  <c:v>Other</c:v>
                </c:pt>
                <c:pt idx="3">
                  <c:v>Technical</c:v>
                </c:pt>
              </c:strCache>
            </c:strRef>
          </c:cat>
          <c:val>
            <c:numRef>
              <c:f>'By Issue'!$B$4:$B$8</c:f>
              <c:numCache>
                <c:formatCode>\$#,##0</c:formatCode>
                <c:ptCount val="4"/>
                <c:pt idx="0">
                  <c:v>43100000</c:v>
                </c:pt>
                <c:pt idx="1">
                  <c:v>7050000</c:v>
                </c:pt>
                <c:pt idx="2">
                  <c:v>2500000</c:v>
                </c:pt>
                <c:pt idx="3">
                  <c:v>1150000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6-4B73-AB49-58760F70B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5169544"/>
        <c:axId val="1695365640"/>
      </c:barChart>
      <c:catAx>
        <c:axId val="1695169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65640"/>
        <c:crosses val="autoZero"/>
        <c:auto val="1"/>
        <c:lblAlgn val="ctr"/>
        <c:lblOffset val="100"/>
        <c:noMultiLvlLbl val="0"/>
      </c:catAx>
      <c:valAx>
        <c:axId val="169536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69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[Trade_Fails_Practice_Data.xlsx]By Client!PivotTable5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Pending Value by Client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Client'!$B$3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Client'!$A$4:$A$8</c:f>
              <c:strCache>
                <c:ptCount val="4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</c:strCache>
            </c:strRef>
          </c:cat>
          <c:val>
            <c:numRef>
              <c:f>'By Client'!$B$4:$B$8</c:f>
              <c:numCache>
                <c:formatCode>\$#,##0</c:formatCode>
                <c:ptCount val="4"/>
                <c:pt idx="0">
                  <c:v>16500000</c:v>
                </c:pt>
                <c:pt idx="1">
                  <c:v>27250000</c:v>
                </c:pt>
                <c:pt idx="2">
                  <c:v>6900000</c:v>
                </c:pt>
                <c:pt idx="3">
                  <c:v>3150000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0-4B6A-915F-53E2A7663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175176"/>
        <c:axId val="1695177224"/>
      </c:barChart>
      <c:catAx>
        <c:axId val="169517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77224"/>
        <c:crosses val="autoZero"/>
        <c:auto val="1"/>
        <c:lblAlgn val="ctr"/>
        <c:lblOffset val="100"/>
        <c:noMultiLvlLbl val="0"/>
      </c:catAx>
      <c:valAx>
        <c:axId val="169517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[Trade_Fails_Practice_Data.xlsx]By Issue!PivotTable3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Pending Value by Issue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Issue'!$B$3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Issue'!$A$4:$A$8</c:f>
              <c:strCache>
                <c:ptCount val="4"/>
                <c:pt idx="0">
                  <c:v>Compliance / Approval / Docs</c:v>
                </c:pt>
                <c:pt idx="1">
                  <c:v>Funding</c:v>
                </c:pt>
                <c:pt idx="2">
                  <c:v>Other</c:v>
                </c:pt>
                <c:pt idx="3">
                  <c:v>Technical</c:v>
                </c:pt>
              </c:strCache>
            </c:strRef>
          </c:cat>
          <c:val>
            <c:numRef>
              <c:f>'By Issue'!$B$4:$B$8</c:f>
              <c:numCache>
                <c:formatCode>\$#,##0</c:formatCode>
                <c:ptCount val="4"/>
                <c:pt idx="0">
                  <c:v>43100000</c:v>
                </c:pt>
                <c:pt idx="1">
                  <c:v>7050000</c:v>
                </c:pt>
                <c:pt idx="2">
                  <c:v>2500000</c:v>
                </c:pt>
                <c:pt idx="3">
                  <c:v>1150000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C-4D69-B48A-422437F23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5169544"/>
        <c:axId val="1695365640"/>
      </c:barChart>
      <c:catAx>
        <c:axId val="1695169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65640"/>
        <c:crosses val="autoZero"/>
        <c:auto val="1"/>
        <c:lblAlgn val="ctr"/>
        <c:lblOffset val="100"/>
        <c:noMultiLvlLbl val="0"/>
      </c:catAx>
      <c:valAx>
        <c:axId val="169536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69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3</xdr:row>
      <xdr:rowOff>161925</xdr:rowOff>
    </xdr:from>
    <xdr:to>
      <xdr:col>13</xdr:col>
      <xdr:colOff>600075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42EF1-05BE-1855-003B-534D7AA51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0</xdr:row>
      <xdr:rowOff>171450</xdr:rowOff>
    </xdr:from>
    <xdr:to>
      <xdr:col>14</xdr:col>
      <xdr:colOff>400050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B4EA2-2FAD-0932-F3D6-1D5650919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152400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72D43-B50F-4B6B-BC6C-80CF38F0C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7</xdr:col>
      <xdr:colOff>323850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78C88-107B-448E-AF4E-988BCDFB7237}"/>
            </a:ext>
            <a:ext uri="{147F2762-F138-4A5C-976F-8EAC2B608ADB}">
              <a16:predDERef xmlns:a16="http://schemas.microsoft.com/office/drawing/2014/main" pred="{94472D43-B50F-4B6B-BC6C-80CF38F0C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935033449074" createdVersion="8" refreshedVersion="8" minRefreshableVersion="3" recordCount="55" xr:uid="{22BF9C30-3B9F-4AB5-8EC2-26207E38D725}">
  <cacheSource type="worksheet">
    <worksheetSource ref="A1:J56" sheet="Trade Data"/>
  </cacheSource>
  <cacheFields count="10">
    <cacheField name="Transaction ID" numFmtId="0">
      <sharedItems/>
    </cacheField>
    <cacheField name="Client Name" numFmtId="0">
      <sharedItems count="4">
        <s v="Client A"/>
        <s v="Client B"/>
        <s v="Client C"/>
        <s v="Client D"/>
      </sharedItems>
    </cacheField>
    <cacheField name="Transaction Type" numFmtId="0">
      <sharedItems/>
    </cacheField>
    <cacheField name="Amount" numFmtId="164">
      <sharedItems containsSemiMixedTypes="0" containsString="0" containsNumber="1" containsInteger="1" minValue="250000" maxValue="3500000"/>
    </cacheField>
    <cacheField name="Date" numFmtId="165">
      <sharedItems containsSemiMixedTypes="0" containsNonDate="0" containsDate="1" containsString="0" minDate="2024-07-01T00:00:00" maxDate="2024-07-15T00:00:00"/>
    </cacheField>
    <cacheField name="Status" numFmtId="0">
      <sharedItems count="2">
        <s v="Pending"/>
        <s v="Completed"/>
      </sharedItems>
    </cacheField>
    <cacheField name="Notes" numFmtId="0">
      <sharedItems/>
    </cacheField>
    <cacheField name="Issue Category" numFmtId="0">
      <sharedItems count="5">
        <s v="Funding"/>
        <s v="Compliance / Approval / Docs"/>
        <s v=""/>
        <s v="Technical"/>
        <s v="Other"/>
      </sharedItems>
    </cacheField>
    <cacheField name="Days Pending" numFmtId="0">
      <sharedItems containsNonDate="0" containsString="0" containsBlank="1" count="1">
        <m/>
      </sharedItems>
    </cacheField>
    <cacheField name="Escal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TXN001"/>
    <x v="0"/>
    <s v="Buy"/>
    <n v="2750000"/>
    <d v="2024-07-01T00:00:00"/>
    <x v="0"/>
    <s v="Awaiting funds transfer"/>
    <x v="0"/>
    <x v="0"/>
    <s v=""/>
  </r>
  <r>
    <s v="TXN002"/>
    <x v="1"/>
    <s v="Sell"/>
    <n v="600000"/>
    <d v="2024-07-02T00:00:00"/>
    <x v="0"/>
    <s v="Awaiting documentation"/>
    <x v="1"/>
    <x v="0"/>
    <m/>
  </r>
  <r>
    <s v="TXN003"/>
    <x v="0"/>
    <s v="Sell"/>
    <n v="650000"/>
    <d v="2024-07-03T00:00:00"/>
    <x v="1"/>
    <s v="Settled successfully"/>
    <x v="2"/>
    <x v="0"/>
    <m/>
  </r>
  <r>
    <s v="TXN004"/>
    <x v="1"/>
    <s v="Buy"/>
    <n v="1000000"/>
    <d v="2024-07-04T00:00:00"/>
    <x v="0"/>
    <s v="Awaiting approval"/>
    <x v="1"/>
    <x v="0"/>
    <m/>
  </r>
  <r>
    <s v="TXN005"/>
    <x v="1"/>
    <s v="Buy"/>
    <n v="2750000"/>
    <d v="2024-07-05T00:00:00"/>
    <x v="1"/>
    <s v="Settled successfully"/>
    <x v="2"/>
    <x v="0"/>
    <m/>
  </r>
  <r>
    <s v="TXN006"/>
    <x v="0"/>
    <s v="Buy"/>
    <n v="2100000"/>
    <d v="2024-07-06T00:00:00"/>
    <x v="1"/>
    <s v="Settled successfully"/>
    <x v="2"/>
    <x v="0"/>
    <m/>
  </r>
  <r>
    <s v="TXN007"/>
    <x v="1"/>
    <s v="Sell"/>
    <n v="1400000"/>
    <d v="2024-07-07T00:00:00"/>
    <x v="1"/>
    <s v="Settled successfully"/>
    <x v="2"/>
    <x v="0"/>
    <m/>
  </r>
  <r>
    <s v="TXN008"/>
    <x v="1"/>
    <s v="Buy"/>
    <n v="2600000"/>
    <d v="2024-07-08T00:00:00"/>
    <x v="1"/>
    <s v="Settled successfully"/>
    <x v="2"/>
    <x v="0"/>
    <m/>
  </r>
  <r>
    <s v="TXN009"/>
    <x v="2"/>
    <s v="Buy"/>
    <n v="1550000"/>
    <d v="2024-07-09T00:00:00"/>
    <x v="1"/>
    <s v="Settled successfully"/>
    <x v="2"/>
    <x v="0"/>
    <m/>
  </r>
  <r>
    <s v="TXN010"/>
    <x v="1"/>
    <s v="Sell"/>
    <n v="3200000"/>
    <d v="2024-07-10T00:00:00"/>
    <x v="0"/>
    <s v="Pending due to compliance review"/>
    <x v="1"/>
    <x v="0"/>
    <m/>
  </r>
  <r>
    <s v="TXN011"/>
    <x v="0"/>
    <s v="Buy"/>
    <n v="1800000"/>
    <d v="2024-07-11T00:00:00"/>
    <x v="1"/>
    <s v="Settled successfully"/>
    <x v="2"/>
    <x v="0"/>
    <m/>
  </r>
  <r>
    <s v="TXN012"/>
    <x v="0"/>
    <s v="Sell"/>
    <n v="2400000"/>
    <d v="2024-07-12T00:00:00"/>
    <x v="0"/>
    <s v="Awaiting documentation"/>
    <x v="1"/>
    <x v="0"/>
    <m/>
  </r>
  <r>
    <s v="TXN013"/>
    <x v="3"/>
    <s v="Buy"/>
    <n v="3500000"/>
    <d v="2024-07-13T00:00:00"/>
    <x v="1"/>
    <s v="Settled successfully"/>
    <x v="2"/>
    <x v="0"/>
    <m/>
  </r>
  <r>
    <s v="TXN014"/>
    <x v="2"/>
    <s v="Buy"/>
    <n v="3350000"/>
    <d v="2024-07-14T00:00:00"/>
    <x v="1"/>
    <s v="Settled successfully"/>
    <x v="2"/>
    <x v="0"/>
    <m/>
  </r>
  <r>
    <s v="TXN015"/>
    <x v="3"/>
    <s v="Buy"/>
    <n v="2250000"/>
    <d v="2024-07-01T00:00:00"/>
    <x v="1"/>
    <s v="Settled successfully"/>
    <x v="2"/>
    <x v="0"/>
    <m/>
  </r>
  <r>
    <s v="TXN016"/>
    <x v="0"/>
    <s v="Sell"/>
    <n v="3150000"/>
    <d v="2024-07-02T00:00:00"/>
    <x v="1"/>
    <s v="Settled successfully"/>
    <x v="2"/>
    <x v="0"/>
    <m/>
  </r>
  <r>
    <s v="TXN017"/>
    <x v="0"/>
    <s v="Sell"/>
    <n v="3250000"/>
    <d v="2024-07-03T00:00:00"/>
    <x v="0"/>
    <s v="Awaiting documentation"/>
    <x v="1"/>
    <x v="0"/>
    <m/>
  </r>
  <r>
    <s v="TXN018"/>
    <x v="2"/>
    <s v="Sell"/>
    <n v="3100000"/>
    <d v="2024-07-04T00:00:00"/>
    <x v="1"/>
    <s v="Settled successfully"/>
    <x v="2"/>
    <x v="0"/>
    <m/>
  </r>
  <r>
    <s v="TXN019"/>
    <x v="1"/>
    <s v="Sell"/>
    <n v="350000"/>
    <d v="2024-07-05T00:00:00"/>
    <x v="0"/>
    <s v="Pending due to compliance review"/>
    <x v="1"/>
    <x v="0"/>
    <m/>
  </r>
  <r>
    <s v="TXN020"/>
    <x v="1"/>
    <s v="Sell"/>
    <n v="600000"/>
    <d v="2024-07-06T00:00:00"/>
    <x v="1"/>
    <s v="Settled successfully"/>
    <x v="2"/>
    <x v="0"/>
    <m/>
  </r>
  <r>
    <s v="TXN021"/>
    <x v="0"/>
    <s v="Buy"/>
    <n v="2750000"/>
    <d v="2024-07-07T00:00:00"/>
    <x v="1"/>
    <s v="Settled successfully"/>
    <x v="2"/>
    <x v="0"/>
    <m/>
  </r>
  <r>
    <s v="TXN022"/>
    <x v="3"/>
    <s v="Buy"/>
    <n v="1300000"/>
    <d v="2024-07-08T00:00:00"/>
    <x v="1"/>
    <s v="Settled successfully"/>
    <x v="2"/>
    <x v="0"/>
    <m/>
  </r>
  <r>
    <s v="TXN023"/>
    <x v="1"/>
    <s v="Buy"/>
    <n v="3000000"/>
    <d v="2024-07-09T00:00:00"/>
    <x v="0"/>
    <s v="Funds not available"/>
    <x v="0"/>
    <x v="0"/>
    <m/>
  </r>
  <r>
    <s v="TXN024"/>
    <x v="1"/>
    <s v="Sell"/>
    <n v="2650000"/>
    <d v="2024-07-10T00:00:00"/>
    <x v="0"/>
    <s v="Awaiting documentation"/>
    <x v="1"/>
    <x v="0"/>
    <m/>
  </r>
  <r>
    <s v="TXN025"/>
    <x v="0"/>
    <s v="Buy"/>
    <n v="1700000"/>
    <d v="2024-07-11T00:00:00"/>
    <x v="1"/>
    <s v="Settled successfully"/>
    <x v="2"/>
    <x v="0"/>
    <m/>
  </r>
  <r>
    <s v="TXN026"/>
    <x v="3"/>
    <s v="Buy"/>
    <n v="1900000"/>
    <d v="2024-07-12T00:00:00"/>
    <x v="1"/>
    <s v="Settled successfully"/>
    <x v="2"/>
    <x v="0"/>
    <m/>
  </r>
  <r>
    <s v="TXN027"/>
    <x v="0"/>
    <s v="Sell"/>
    <n v="2250000"/>
    <d v="2024-07-13T00:00:00"/>
    <x v="0"/>
    <s v="Awaiting documentation"/>
    <x v="1"/>
    <x v="0"/>
    <m/>
  </r>
  <r>
    <s v="TXN028"/>
    <x v="1"/>
    <s v="Buy"/>
    <n v="3150000"/>
    <d v="2024-07-14T00:00:00"/>
    <x v="0"/>
    <s v="Awaiting documentation"/>
    <x v="1"/>
    <x v="0"/>
    <m/>
  </r>
  <r>
    <s v="TXN029"/>
    <x v="3"/>
    <s v="Sell"/>
    <n v="2750000"/>
    <d v="2024-07-01T00:00:00"/>
    <x v="1"/>
    <s v="Settled successfully"/>
    <x v="2"/>
    <x v="0"/>
    <m/>
  </r>
  <r>
    <s v="TXN030"/>
    <x v="0"/>
    <s v="Sell"/>
    <n v="600000"/>
    <d v="2024-07-02T00:00:00"/>
    <x v="1"/>
    <s v="Settled successfully"/>
    <x v="2"/>
    <x v="0"/>
    <m/>
  </r>
  <r>
    <s v="TXN031"/>
    <x v="3"/>
    <s v="Sell"/>
    <n v="1250000"/>
    <d v="2024-07-03T00:00:00"/>
    <x v="1"/>
    <s v="Settled successfully"/>
    <x v="2"/>
    <x v="0"/>
    <m/>
  </r>
  <r>
    <s v="TXN032"/>
    <x v="1"/>
    <s v="Buy"/>
    <n v="250000"/>
    <d v="2024-07-04T00:00:00"/>
    <x v="0"/>
    <s v="Awaiting approval"/>
    <x v="1"/>
    <x v="0"/>
    <m/>
  </r>
  <r>
    <s v="TXN033"/>
    <x v="3"/>
    <s v="Buy"/>
    <n v="700000"/>
    <d v="2024-07-05T00:00:00"/>
    <x v="0"/>
    <s v="Awaiting approval"/>
    <x v="1"/>
    <x v="0"/>
    <m/>
  </r>
  <r>
    <s v="TXN034"/>
    <x v="0"/>
    <s v="Sell"/>
    <n v="2450000"/>
    <d v="2024-07-06T00:00:00"/>
    <x v="0"/>
    <s v="Awaiting approval"/>
    <x v="1"/>
    <x v="0"/>
    <m/>
  </r>
  <r>
    <s v="TXN035"/>
    <x v="0"/>
    <s v="Sell"/>
    <n v="3200000"/>
    <d v="2024-07-07T00:00:00"/>
    <x v="1"/>
    <s v="Settled successfully"/>
    <x v="2"/>
    <x v="0"/>
    <m/>
  </r>
  <r>
    <s v="TXN036"/>
    <x v="0"/>
    <s v="Buy"/>
    <n v="900000"/>
    <d v="2024-07-08T00:00:00"/>
    <x v="0"/>
    <s v="Awaiting documentation"/>
    <x v="1"/>
    <x v="0"/>
    <m/>
  </r>
  <r>
    <s v="TXN037"/>
    <x v="1"/>
    <s v="Buy"/>
    <n v="350000"/>
    <d v="2024-07-09T00:00:00"/>
    <x v="1"/>
    <s v="Settled successfully"/>
    <x v="2"/>
    <x v="0"/>
    <m/>
  </r>
  <r>
    <s v="TXN038"/>
    <x v="3"/>
    <s v="Sell"/>
    <n v="1150000"/>
    <d v="2024-07-10T00:00:00"/>
    <x v="0"/>
    <s v="Technical issue detected"/>
    <x v="3"/>
    <x v="0"/>
    <m/>
  </r>
  <r>
    <s v="TXN039"/>
    <x v="2"/>
    <s v="Sell"/>
    <n v="800000"/>
    <d v="2024-07-11T00:00:00"/>
    <x v="0"/>
    <s v="Awaiting documentation"/>
    <x v="1"/>
    <x v="0"/>
    <m/>
  </r>
  <r>
    <s v="TXN040"/>
    <x v="1"/>
    <s v="Buy"/>
    <n v="2500000"/>
    <d v="2024-07-12T00:00:00"/>
    <x v="0"/>
    <s v="Awaiting approval"/>
    <x v="1"/>
    <x v="0"/>
    <m/>
  </r>
  <r>
    <s v="TXN041"/>
    <x v="2"/>
    <s v="Sell"/>
    <n v="1650000"/>
    <d v="2024-07-13T00:00:00"/>
    <x v="0"/>
    <s v="Awaiting documentation"/>
    <x v="1"/>
    <x v="0"/>
    <m/>
  </r>
  <r>
    <s v="TXN042"/>
    <x v="2"/>
    <s v="Buy"/>
    <n v="1750000"/>
    <d v="2024-07-14T00:00:00"/>
    <x v="0"/>
    <s v="Awaiting documentation"/>
    <x v="1"/>
    <x v="0"/>
    <m/>
  </r>
  <r>
    <s v="TXN043"/>
    <x v="0"/>
    <s v="Sell"/>
    <n v="2500000"/>
    <d v="2024-07-01T00:00:00"/>
    <x v="0"/>
    <s v="Settlement instruction mismatch"/>
    <x v="4"/>
    <x v="0"/>
    <m/>
  </r>
  <r>
    <s v="TXN044"/>
    <x v="2"/>
    <s v="Sell"/>
    <n v="1900000"/>
    <d v="2024-07-02T00:00:00"/>
    <x v="1"/>
    <s v="Settled successfully"/>
    <x v="2"/>
    <x v="0"/>
    <m/>
  </r>
  <r>
    <s v="TXN045"/>
    <x v="1"/>
    <s v="Sell"/>
    <n v="3100000"/>
    <d v="2024-07-03T00:00:00"/>
    <x v="0"/>
    <s v="Awaiting documentation"/>
    <x v="1"/>
    <x v="0"/>
    <m/>
  </r>
  <r>
    <s v="TXN046"/>
    <x v="0"/>
    <s v="Sell"/>
    <n v="750000"/>
    <d v="2024-07-04T00:00:00"/>
    <x v="1"/>
    <s v="Settled successfully"/>
    <x v="2"/>
    <x v="0"/>
    <m/>
  </r>
  <r>
    <s v="TXN047"/>
    <x v="0"/>
    <s v="Buy"/>
    <n v="2400000"/>
    <d v="2024-07-05T00:00:00"/>
    <x v="1"/>
    <s v="Settled successfully"/>
    <x v="2"/>
    <x v="0"/>
    <m/>
  </r>
  <r>
    <s v="TXN048"/>
    <x v="1"/>
    <s v="Buy"/>
    <n v="3300000"/>
    <d v="2024-07-06T00:00:00"/>
    <x v="0"/>
    <s v="Pending due to compliance review"/>
    <x v="1"/>
    <x v="0"/>
    <m/>
  </r>
  <r>
    <s v="TXN049"/>
    <x v="2"/>
    <s v="Buy"/>
    <n v="2700000"/>
    <d v="2024-07-07T00:00:00"/>
    <x v="0"/>
    <s v="Awaiting documentation"/>
    <x v="1"/>
    <x v="0"/>
    <m/>
  </r>
  <r>
    <s v="TXN050"/>
    <x v="1"/>
    <s v="Buy"/>
    <n v="3000000"/>
    <d v="2024-07-08T00:00:00"/>
    <x v="0"/>
    <s v="Pending due to compliance review"/>
    <x v="1"/>
    <x v="0"/>
    <m/>
  </r>
  <r>
    <s v="TXN051"/>
    <x v="2"/>
    <s v="Sell"/>
    <n v="3200000"/>
    <d v="2024-07-09T00:00:00"/>
    <x v="1"/>
    <s v="Settled successfully"/>
    <x v="2"/>
    <x v="0"/>
    <m/>
  </r>
  <r>
    <s v="TXN052"/>
    <x v="3"/>
    <s v="Buy"/>
    <n v="1300000"/>
    <d v="2024-07-10T00:00:00"/>
    <x v="0"/>
    <s v="Awaiting funds transfer"/>
    <x v="0"/>
    <x v="0"/>
    <m/>
  </r>
  <r>
    <s v="TXN053"/>
    <x v="1"/>
    <s v="Sell"/>
    <n v="1150000"/>
    <d v="2024-07-11T00:00:00"/>
    <x v="0"/>
    <s v="Awaiting approval"/>
    <x v="1"/>
    <x v="0"/>
    <m/>
  </r>
  <r>
    <s v="TXN054"/>
    <x v="1"/>
    <s v="Sell"/>
    <n v="1200000"/>
    <d v="2024-07-12T00:00:00"/>
    <x v="1"/>
    <s v="Settled successfully"/>
    <x v="2"/>
    <x v="0"/>
    <m/>
  </r>
  <r>
    <s v="TXN055"/>
    <x v="0"/>
    <s v="Buy"/>
    <n v="900000"/>
    <d v="2024-07-13T00:00:00"/>
    <x v="1"/>
    <s v="Settled successfully"/>
    <x v="2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E2F45-6454-4E68-80AD-BF2C986E2FC4}" name="PivotTable5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 rowPageCount="1" colPageCount="1"/>
  <pivotFields count="10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numFmtId="164" outline="0" showAll="0"/>
    <pivotField compact="0" numFmtId="165" outline="0" showAll="0"/>
    <pivotField axis="axisPage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item="1" hier="-1"/>
  </pageFields>
  <dataFields count="1">
    <dataField name="Sum of Amount" fld="3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03A4F-B133-4834-AE90-F5C31222F67F}" name="PivotTable3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numFmtId="164" outline="0" showAll="0"/>
    <pivotField compact="0" numFmtId="165" outline="0" showAll="0"/>
    <pivotField compact="0" outline="0" showAll="0"/>
    <pivotField compact="0" outline="0" showAll="0"/>
    <pivotField axis="axisRow" compact="0" outline="0" showAll="0">
      <items count="6">
        <item h="1" x="2"/>
        <item x="1"/>
        <item x="0"/>
        <item x="4"/>
        <item x="3"/>
        <item t="default"/>
      </items>
    </pivotField>
    <pivotField compact="0" outline="0" showAll="0"/>
    <pivotField compact="0" outline="0" showAll="0"/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workbookViewId="0">
      <pane ySplit="1" topLeftCell="A2" activePane="bottomLeft" state="frozen"/>
      <selection pane="bottomLeft" activeCell="F16" sqref="F16"/>
    </sheetView>
  </sheetViews>
  <sheetFormatPr defaultRowHeight="15"/>
  <cols>
    <col min="1" max="1" width="14" customWidth="1"/>
    <col min="2" max="2" width="12" customWidth="1"/>
    <col min="3" max="3" width="16" customWidth="1"/>
    <col min="4" max="4" width="14" customWidth="1"/>
    <col min="5" max="6" width="12" customWidth="1"/>
    <col min="7" max="7" width="36" customWidth="1"/>
    <col min="8" max="8" width="26.85546875" customWidth="1"/>
    <col min="9" max="9" width="16.28515625" customWidth="1"/>
    <col min="10" max="10" width="12.7109375" customWidth="1"/>
    <col min="12" max="12" width="10.85546875" customWidth="1"/>
    <col min="13" max="13" width="10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L1" t="s">
        <v>10</v>
      </c>
      <c r="M1" s="5">
        <f>DATE(2024,7,14)</f>
        <v>45487</v>
      </c>
    </row>
    <row r="2" spans="1:13">
      <c r="A2" s="2" t="s">
        <v>11</v>
      </c>
      <c r="B2" s="2" t="s">
        <v>12</v>
      </c>
      <c r="C2" s="2" t="s">
        <v>13</v>
      </c>
      <c r="D2" s="3">
        <v>2750000</v>
      </c>
      <c r="E2" s="4">
        <v>45474</v>
      </c>
      <c r="F2" s="2" t="s">
        <v>14</v>
      </c>
      <c r="G2" s="2" t="s">
        <v>15</v>
      </c>
      <c r="H2" t="str">
        <f>IF(F2&lt;&gt;"Pending","",IF(ISNUMBER(SEARCH("fund",G2)),"Funding",IF(OR(ISNUMBER(SEARCH("compliance",G2)),ISNUMBER(SEARCH("approval",G2)),ISNUMBER(SEARCH("documentation",G2))),"Compliance / Approval / Docs",IF(ISNUMBER(SEARCH("technical",G2)),"Technical","Other"))))</f>
        <v>Funding</v>
      </c>
      <c r="J2" t="str">
        <f>IF(I2="","",IF(I2&gt;3,"Escalate","OK"))</f>
        <v/>
      </c>
    </row>
    <row r="3" spans="1:13">
      <c r="A3" s="2" t="s">
        <v>16</v>
      </c>
      <c r="B3" s="2" t="s">
        <v>17</v>
      </c>
      <c r="C3" s="2" t="s">
        <v>18</v>
      </c>
      <c r="D3" s="3">
        <v>600000</v>
      </c>
      <c r="E3" s="4">
        <v>45475</v>
      </c>
      <c r="F3" s="2" t="s">
        <v>14</v>
      </c>
      <c r="G3" s="2" t="s">
        <v>19</v>
      </c>
      <c r="H3" t="str">
        <f t="shared" ref="H3:H56" si="0">IF(F3&lt;&gt;"Pending","",IF(ISNUMBER(SEARCH("fund",G3)),"Funding",IF(OR(ISNUMBER(SEARCH("compliance",G3)),ISNUMBER(SEARCH("approval",G3)),ISNUMBER(SEARCH("documentation",G3))),"Compliance / Approval / Docs",IF(ISNUMBER(SEARCH("technical",G3)),"Technical","Other"))))</f>
        <v>Compliance / Approval / Docs</v>
      </c>
    </row>
    <row r="4" spans="1:13">
      <c r="A4" s="2" t="s">
        <v>20</v>
      </c>
      <c r="B4" s="2" t="s">
        <v>12</v>
      </c>
      <c r="C4" s="2" t="s">
        <v>18</v>
      </c>
      <c r="D4" s="3">
        <v>650000</v>
      </c>
      <c r="E4" s="4">
        <v>45476</v>
      </c>
      <c r="F4" s="2" t="s">
        <v>21</v>
      </c>
      <c r="G4" s="2" t="s">
        <v>22</v>
      </c>
      <c r="H4" t="str">
        <f t="shared" si="0"/>
        <v/>
      </c>
    </row>
    <row r="5" spans="1:13">
      <c r="A5" s="2" t="s">
        <v>23</v>
      </c>
      <c r="B5" s="2" t="s">
        <v>17</v>
      </c>
      <c r="C5" s="2" t="s">
        <v>13</v>
      </c>
      <c r="D5" s="3">
        <v>1000000</v>
      </c>
      <c r="E5" s="4">
        <v>45477</v>
      </c>
      <c r="F5" s="2" t="s">
        <v>14</v>
      </c>
      <c r="G5" s="2" t="s">
        <v>24</v>
      </c>
      <c r="H5" t="str">
        <f t="shared" si="0"/>
        <v>Compliance / Approval / Docs</v>
      </c>
    </row>
    <row r="6" spans="1:13">
      <c r="A6" s="2" t="s">
        <v>25</v>
      </c>
      <c r="B6" s="2" t="s">
        <v>17</v>
      </c>
      <c r="C6" s="2" t="s">
        <v>13</v>
      </c>
      <c r="D6" s="3">
        <v>2750000</v>
      </c>
      <c r="E6" s="4">
        <v>45478</v>
      </c>
      <c r="F6" s="2" t="s">
        <v>21</v>
      </c>
      <c r="G6" s="2" t="s">
        <v>22</v>
      </c>
      <c r="H6" t="str">
        <f t="shared" si="0"/>
        <v/>
      </c>
    </row>
    <row r="7" spans="1:13">
      <c r="A7" s="2" t="s">
        <v>26</v>
      </c>
      <c r="B7" s="2" t="s">
        <v>12</v>
      </c>
      <c r="C7" s="2" t="s">
        <v>13</v>
      </c>
      <c r="D7" s="3">
        <v>2100000</v>
      </c>
      <c r="E7" s="4">
        <v>45479</v>
      </c>
      <c r="F7" s="2" t="s">
        <v>21</v>
      </c>
      <c r="G7" s="2" t="s">
        <v>22</v>
      </c>
      <c r="H7" t="str">
        <f t="shared" si="0"/>
        <v/>
      </c>
    </row>
    <row r="8" spans="1:13">
      <c r="A8" s="2" t="s">
        <v>27</v>
      </c>
      <c r="B8" s="2" t="s">
        <v>17</v>
      </c>
      <c r="C8" s="2" t="s">
        <v>18</v>
      </c>
      <c r="D8" s="3">
        <v>1400000</v>
      </c>
      <c r="E8" s="4">
        <v>45480</v>
      </c>
      <c r="F8" s="2" t="s">
        <v>21</v>
      </c>
      <c r="G8" s="2" t="s">
        <v>22</v>
      </c>
      <c r="H8" t="str">
        <f t="shared" si="0"/>
        <v/>
      </c>
    </row>
    <row r="9" spans="1:13">
      <c r="A9" s="2" t="s">
        <v>28</v>
      </c>
      <c r="B9" s="2" t="s">
        <v>17</v>
      </c>
      <c r="C9" s="2" t="s">
        <v>13</v>
      </c>
      <c r="D9" s="3">
        <v>2600000</v>
      </c>
      <c r="E9" s="4">
        <v>45481</v>
      </c>
      <c r="F9" s="2" t="s">
        <v>21</v>
      </c>
      <c r="G9" s="2" t="s">
        <v>22</v>
      </c>
      <c r="H9" t="str">
        <f t="shared" si="0"/>
        <v/>
      </c>
    </row>
    <row r="10" spans="1:13">
      <c r="A10" s="2" t="s">
        <v>29</v>
      </c>
      <c r="B10" s="2" t="s">
        <v>30</v>
      </c>
      <c r="C10" s="2" t="s">
        <v>13</v>
      </c>
      <c r="D10" s="3">
        <v>1550000</v>
      </c>
      <c r="E10" s="4">
        <v>45482</v>
      </c>
      <c r="F10" s="2" t="s">
        <v>21</v>
      </c>
      <c r="G10" s="2" t="s">
        <v>22</v>
      </c>
      <c r="H10" t="str">
        <f t="shared" si="0"/>
        <v/>
      </c>
    </row>
    <row r="11" spans="1:13">
      <c r="A11" s="2" t="s">
        <v>31</v>
      </c>
      <c r="B11" s="2" t="s">
        <v>17</v>
      </c>
      <c r="C11" s="2" t="s">
        <v>18</v>
      </c>
      <c r="D11" s="3">
        <v>3200000</v>
      </c>
      <c r="E11" s="4">
        <v>45483</v>
      </c>
      <c r="F11" s="2" t="s">
        <v>14</v>
      </c>
      <c r="G11" s="2" t="s">
        <v>32</v>
      </c>
      <c r="H11" t="str">
        <f t="shared" si="0"/>
        <v>Compliance / Approval / Docs</v>
      </c>
    </row>
    <row r="12" spans="1:13">
      <c r="A12" s="2" t="s">
        <v>33</v>
      </c>
      <c r="B12" s="2" t="s">
        <v>12</v>
      </c>
      <c r="C12" s="2" t="s">
        <v>13</v>
      </c>
      <c r="D12" s="3">
        <v>1800000</v>
      </c>
      <c r="E12" s="4">
        <v>45484</v>
      </c>
      <c r="F12" s="2" t="s">
        <v>21</v>
      </c>
      <c r="G12" s="2" t="s">
        <v>22</v>
      </c>
      <c r="H12" t="str">
        <f t="shared" si="0"/>
        <v/>
      </c>
    </row>
    <row r="13" spans="1:13">
      <c r="A13" s="2" t="s">
        <v>34</v>
      </c>
      <c r="B13" s="2" t="s">
        <v>12</v>
      </c>
      <c r="C13" s="2" t="s">
        <v>18</v>
      </c>
      <c r="D13" s="3">
        <v>2400000</v>
      </c>
      <c r="E13" s="4">
        <v>45485</v>
      </c>
      <c r="F13" s="2" t="s">
        <v>14</v>
      </c>
      <c r="G13" s="2" t="s">
        <v>19</v>
      </c>
      <c r="H13" t="str">
        <f t="shared" si="0"/>
        <v>Compliance / Approval / Docs</v>
      </c>
    </row>
    <row r="14" spans="1:13">
      <c r="A14" s="2" t="s">
        <v>35</v>
      </c>
      <c r="B14" s="2" t="s">
        <v>36</v>
      </c>
      <c r="C14" s="2" t="s">
        <v>13</v>
      </c>
      <c r="D14" s="3">
        <v>3500000</v>
      </c>
      <c r="E14" s="4">
        <v>45486</v>
      </c>
      <c r="F14" s="2" t="s">
        <v>21</v>
      </c>
      <c r="G14" s="2" t="s">
        <v>22</v>
      </c>
      <c r="H14" t="str">
        <f t="shared" si="0"/>
        <v/>
      </c>
    </row>
    <row r="15" spans="1:13">
      <c r="A15" s="2" t="s">
        <v>37</v>
      </c>
      <c r="B15" s="2" t="s">
        <v>30</v>
      </c>
      <c r="C15" s="2" t="s">
        <v>13</v>
      </c>
      <c r="D15" s="3">
        <v>3350000</v>
      </c>
      <c r="E15" s="4">
        <v>45487</v>
      </c>
      <c r="F15" s="2" t="s">
        <v>21</v>
      </c>
      <c r="G15" s="2" t="s">
        <v>22</v>
      </c>
      <c r="H15" t="str">
        <f t="shared" si="0"/>
        <v/>
      </c>
    </row>
    <row r="16" spans="1:13">
      <c r="A16" s="2" t="s">
        <v>38</v>
      </c>
      <c r="B16" s="2" t="s">
        <v>36</v>
      </c>
      <c r="C16" s="2" t="s">
        <v>13</v>
      </c>
      <c r="D16" s="3">
        <v>2250000</v>
      </c>
      <c r="E16" s="4">
        <v>45474</v>
      </c>
      <c r="F16" s="2" t="s">
        <v>21</v>
      </c>
      <c r="G16" s="2" t="s">
        <v>22</v>
      </c>
      <c r="H16" t="str">
        <f t="shared" si="0"/>
        <v/>
      </c>
    </row>
    <row r="17" spans="1:8">
      <c r="A17" s="2" t="s">
        <v>39</v>
      </c>
      <c r="B17" s="2" t="s">
        <v>12</v>
      </c>
      <c r="C17" s="2" t="s">
        <v>18</v>
      </c>
      <c r="D17" s="3">
        <v>3150000</v>
      </c>
      <c r="E17" s="4">
        <v>45475</v>
      </c>
      <c r="F17" s="2" t="s">
        <v>21</v>
      </c>
      <c r="G17" s="2" t="s">
        <v>22</v>
      </c>
      <c r="H17" t="str">
        <f t="shared" si="0"/>
        <v/>
      </c>
    </row>
    <row r="18" spans="1:8">
      <c r="A18" s="2" t="s">
        <v>40</v>
      </c>
      <c r="B18" s="2" t="s">
        <v>12</v>
      </c>
      <c r="C18" s="2" t="s">
        <v>18</v>
      </c>
      <c r="D18" s="3">
        <v>3250000</v>
      </c>
      <c r="E18" s="4">
        <v>45476</v>
      </c>
      <c r="F18" s="2" t="s">
        <v>14</v>
      </c>
      <c r="G18" s="2" t="s">
        <v>19</v>
      </c>
      <c r="H18" t="str">
        <f t="shared" si="0"/>
        <v>Compliance / Approval / Docs</v>
      </c>
    </row>
    <row r="19" spans="1:8">
      <c r="A19" s="2" t="s">
        <v>41</v>
      </c>
      <c r="B19" s="2" t="s">
        <v>30</v>
      </c>
      <c r="C19" s="2" t="s">
        <v>18</v>
      </c>
      <c r="D19" s="3">
        <v>3100000</v>
      </c>
      <c r="E19" s="4">
        <v>45477</v>
      </c>
      <c r="F19" s="2" t="s">
        <v>21</v>
      </c>
      <c r="G19" s="2" t="s">
        <v>22</v>
      </c>
      <c r="H19" t="str">
        <f t="shared" si="0"/>
        <v/>
      </c>
    </row>
    <row r="20" spans="1:8">
      <c r="A20" s="2" t="s">
        <v>42</v>
      </c>
      <c r="B20" s="2" t="s">
        <v>17</v>
      </c>
      <c r="C20" s="2" t="s">
        <v>18</v>
      </c>
      <c r="D20" s="3">
        <v>350000</v>
      </c>
      <c r="E20" s="4">
        <v>45478</v>
      </c>
      <c r="F20" s="2" t="s">
        <v>14</v>
      </c>
      <c r="G20" s="2" t="s">
        <v>32</v>
      </c>
      <c r="H20" t="str">
        <f t="shared" si="0"/>
        <v>Compliance / Approval / Docs</v>
      </c>
    </row>
    <row r="21" spans="1:8">
      <c r="A21" s="2" t="s">
        <v>43</v>
      </c>
      <c r="B21" s="2" t="s">
        <v>17</v>
      </c>
      <c r="C21" s="2" t="s">
        <v>18</v>
      </c>
      <c r="D21" s="3">
        <v>600000</v>
      </c>
      <c r="E21" s="4">
        <v>45479</v>
      </c>
      <c r="F21" s="2" t="s">
        <v>21</v>
      </c>
      <c r="G21" s="2" t="s">
        <v>22</v>
      </c>
      <c r="H21" t="str">
        <f t="shared" si="0"/>
        <v/>
      </c>
    </row>
    <row r="22" spans="1:8">
      <c r="A22" s="2" t="s">
        <v>44</v>
      </c>
      <c r="B22" s="2" t="s">
        <v>12</v>
      </c>
      <c r="C22" s="2" t="s">
        <v>13</v>
      </c>
      <c r="D22" s="3">
        <v>2750000</v>
      </c>
      <c r="E22" s="4">
        <v>45480</v>
      </c>
      <c r="F22" s="2" t="s">
        <v>21</v>
      </c>
      <c r="G22" s="2" t="s">
        <v>22</v>
      </c>
      <c r="H22" t="str">
        <f t="shared" si="0"/>
        <v/>
      </c>
    </row>
    <row r="23" spans="1:8">
      <c r="A23" s="2" t="s">
        <v>45</v>
      </c>
      <c r="B23" s="2" t="s">
        <v>36</v>
      </c>
      <c r="C23" s="2" t="s">
        <v>13</v>
      </c>
      <c r="D23" s="3">
        <v>1300000</v>
      </c>
      <c r="E23" s="4">
        <v>45481</v>
      </c>
      <c r="F23" s="2" t="s">
        <v>21</v>
      </c>
      <c r="G23" s="2" t="s">
        <v>22</v>
      </c>
      <c r="H23" t="str">
        <f t="shared" si="0"/>
        <v/>
      </c>
    </row>
    <row r="24" spans="1:8">
      <c r="A24" s="2" t="s">
        <v>46</v>
      </c>
      <c r="B24" s="2" t="s">
        <v>17</v>
      </c>
      <c r="C24" s="2" t="s">
        <v>13</v>
      </c>
      <c r="D24" s="3">
        <v>3000000</v>
      </c>
      <c r="E24" s="4">
        <v>45482</v>
      </c>
      <c r="F24" s="2" t="s">
        <v>14</v>
      </c>
      <c r="G24" s="2" t="s">
        <v>47</v>
      </c>
      <c r="H24" t="str">
        <f t="shared" si="0"/>
        <v>Funding</v>
      </c>
    </row>
    <row r="25" spans="1:8">
      <c r="A25" s="2" t="s">
        <v>48</v>
      </c>
      <c r="B25" s="2" t="s">
        <v>17</v>
      </c>
      <c r="C25" s="2" t="s">
        <v>18</v>
      </c>
      <c r="D25" s="3">
        <v>2650000</v>
      </c>
      <c r="E25" s="4">
        <v>45483</v>
      </c>
      <c r="F25" s="2" t="s">
        <v>14</v>
      </c>
      <c r="G25" s="2" t="s">
        <v>19</v>
      </c>
      <c r="H25" t="str">
        <f t="shared" si="0"/>
        <v>Compliance / Approval / Docs</v>
      </c>
    </row>
    <row r="26" spans="1:8">
      <c r="A26" s="2" t="s">
        <v>49</v>
      </c>
      <c r="B26" s="2" t="s">
        <v>12</v>
      </c>
      <c r="C26" s="2" t="s">
        <v>13</v>
      </c>
      <c r="D26" s="3">
        <v>1700000</v>
      </c>
      <c r="E26" s="4">
        <v>45484</v>
      </c>
      <c r="F26" s="2" t="s">
        <v>21</v>
      </c>
      <c r="G26" s="2" t="s">
        <v>22</v>
      </c>
      <c r="H26" t="str">
        <f t="shared" si="0"/>
        <v/>
      </c>
    </row>
    <row r="27" spans="1:8">
      <c r="A27" s="2" t="s">
        <v>50</v>
      </c>
      <c r="B27" s="2" t="s">
        <v>36</v>
      </c>
      <c r="C27" s="2" t="s">
        <v>13</v>
      </c>
      <c r="D27" s="3">
        <v>1900000</v>
      </c>
      <c r="E27" s="4">
        <v>45485</v>
      </c>
      <c r="F27" s="2" t="s">
        <v>21</v>
      </c>
      <c r="G27" s="2" t="s">
        <v>22</v>
      </c>
      <c r="H27" t="str">
        <f t="shared" si="0"/>
        <v/>
      </c>
    </row>
    <row r="28" spans="1:8">
      <c r="A28" s="2" t="s">
        <v>51</v>
      </c>
      <c r="B28" s="2" t="s">
        <v>12</v>
      </c>
      <c r="C28" s="2" t="s">
        <v>18</v>
      </c>
      <c r="D28" s="3">
        <v>2250000</v>
      </c>
      <c r="E28" s="4">
        <v>45486</v>
      </c>
      <c r="F28" s="2" t="s">
        <v>14</v>
      </c>
      <c r="G28" s="2" t="s">
        <v>19</v>
      </c>
      <c r="H28" t="str">
        <f t="shared" si="0"/>
        <v>Compliance / Approval / Docs</v>
      </c>
    </row>
    <row r="29" spans="1:8">
      <c r="A29" s="2" t="s">
        <v>52</v>
      </c>
      <c r="B29" s="2" t="s">
        <v>17</v>
      </c>
      <c r="C29" s="2" t="s">
        <v>13</v>
      </c>
      <c r="D29" s="3">
        <v>3150000</v>
      </c>
      <c r="E29" s="4">
        <v>45487</v>
      </c>
      <c r="F29" s="2" t="s">
        <v>14</v>
      </c>
      <c r="G29" s="2" t="s">
        <v>19</v>
      </c>
      <c r="H29" t="str">
        <f t="shared" si="0"/>
        <v>Compliance / Approval / Docs</v>
      </c>
    </row>
    <row r="30" spans="1:8">
      <c r="A30" s="2" t="s">
        <v>53</v>
      </c>
      <c r="B30" s="2" t="s">
        <v>36</v>
      </c>
      <c r="C30" s="2" t="s">
        <v>18</v>
      </c>
      <c r="D30" s="3">
        <v>2750000</v>
      </c>
      <c r="E30" s="4">
        <v>45474</v>
      </c>
      <c r="F30" s="2" t="s">
        <v>21</v>
      </c>
      <c r="G30" s="2" t="s">
        <v>22</v>
      </c>
      <c r="H30" t="str">
        <f t="shared" si="0"/>
        <v/>
      </c>
    </row>
    <row r="31" spans="1:8">
      <c r="A31" s="2" t="s">
        <v>54</v>
      </c>
      <c r="B31" s="2" t="s">
        <v>12</v>
      </c>
      <c r="C31" s="2" t="s">
        <v>18</v>
      </c>
      <c r="D31" s="3">
        <v>600000</v>
      </c>
      <c r="E31" s="4">
        <v>45475</v>
      </c>
      <c r="F31" s="2" t="s">
        <v>21</v>
      </c>
      <c r="G31" s="2" t="s">
        <v>22</v>
      </c>
      <c r="H31" t="str">
        <f t="shared" si="0"/>
        <v/>
      </c>
    </row>
    <row r="32" spans="1:8">
      <c r="A32" s="2" t="s">
        <v>55</v>
      </c>
      <c r="B32" s="2" t="s">
        <v>36</v>
      </c>
      <c r="C32" s="2" t="s">
        <v>18</v>
      </c>
      <c r="D32" s="3">
        <v>1250000</v>
      </c>
      <c r="E32" s="4">
        <v>45476</v>
      </c>
      <c r="F32" s="2" t="s">
        <v>21</v>
      </c>
      <c r="G32" s="2" t="s">
        <v>22</v>
      </c>
      <c r="H32" t="str">
        <f t="shared" si="0"/>
        <v/>
      </c>
    </row>
    <row r="33" spans="1:8">
      <c r="A33" s="2" t="s">
        <v>56</v>
      </c>
      <c r="B33" s="2" t="s">
        <v>17</v>
      </c>
      <c r="C33" s="2" t="s">
        <v>13</v>
      </c>
      <c r="D33" s="3">
        <v>250000</v>
      </c>
      <c r="E33" s="4">
        <v>45477</v>
      </c>
      <c r="F33" s="2" t="s">
        <v>14</v>
      </c>
      <c r="G33" s="2" t="s">
        <v>24</v>
      </c>
      <c r="H33" t="str">
        <f t="shared" si="0"/>
        <v>Compliance / Approval / Docs</v>
      </c>
    </row>
    <row r="34" spans="1:8">
      <c r="A34" s="2" t="s">
        <v>57</v>
      </c>
      <c r="B34" s="2" t="s">
        <v>36</v>
      </c>
      <c r="C34" s="2" t="s">
        <v>13</v>
      </c>
      <c r="D34" s="3">
        <v>700000</v>
      </c>
      <c r="E34" s="4">
        <v>45478</v>
      </c>
      <c r="F34" s="2" t="s">
        <v>14</v>
      </c>
      <c r="G34" s="2" t="s">
        <v>24</v>
      </c>
      <c r="H34" t="str">
        <f t="shared" si="0"/>
        <v>Compliance / Approval / Docs</v>
      </c>
    </row>
    <row r="35" spans="1:8">
      <c r="A35" s="2" t="s">
        <v>58</v>
      </c>
      <c r="B35" s="2" t="s">
        <v>12</v>
      </c>
      <c r="C35" s="2" t="s">
        <v>18</v>
      </c>
      <c r="D35" s="3">
        <v>2450000</v>
      </c>
      <c r="E35" s="4">
        <v>45479</v>
      </c>
      <c r="F35" s="2" t="s">
        <v>14</v>
      </c>
      <c r="G35" s="2" t="s">
        <v>24</v>
      </c>
      <c r="H35" t="str">
        <f t="shared" si="0"/>
        <v>Compliance / Approval / Docs</v>
      </c>
    </row>
    <row r="36" spans="1:8">
      <c r="A36" s="2" t="s">
        <v>59</v>
      </c>
      <c r="B36" s="2" t="s">
        <v>12</v>
      </c>
      <c r="C36" s="2" t="s">
        <v>18</v>
      </c>
      <c r="D36" s="3">
        <v>3200000</v>
      </c>
      <c r="E36" s="4">
        <v>45480</v>
      </c>
      <c r="F36" s="2" t="s">
        <v>21</v>
      </c>
      <c r="G36" s="2" t="s">
        <v>22</v>
      </c>
      <c r="H36" t="str">
        <f t="shared" si="0"/>
        <v/>
      </c>
    </row>
    <row r="37" spans="1:8">
      <c r="A37" s="2" t="s">
        <v>60</v>
      </c>
      <c r="B37" s="2" t="s">
        <v>12</v>
      </c>
      <c r="C37" s="2" t="s">
        <v>13</v>
      </c>
      <c r="D37" s="3">
        <v>900000</v>
      </c>
      <c r="E37" s="4">
        <v>45481</v>
      </c>
      <c r="F37" s="2" t="s">
        <v>14</v>
      </c>
      <c r="G37" s="2" t="s">
        <v>19</v>
      </c>
      <c r="H37" t="str">
        <f t="shared" si="0"/>
        <v>Compliance / Approval / Docs</v>
      </c>
    </row>
    <row r="38" spans="1:8">
      <c r="A38" s="2" t="s">
        <v>61</v>
      </c>
      <c r="B38" s="2" t="s">
        <v>17</v>
      </c>
      <c r="C38" s="2" t="s">
        <v>13</v>
      </c>
      <c r="D38" s="3">
        <v>350000</v>
      </c>
      <c r="E38" s="4">
        <v>45482</v>
      </c>
      <c r="F38" s="2" t="s">
        <v>21</v>
      </c>
      <c r="G38" s="2" t="s">
        <v>22</v>
      </c>
      <c r="H38" t="str">
        <f t="shared" si="0"/>
        <v/>
      </c>
    </row>
    <row r="39" spans="1:8">
      <c r="A39" s="2" t="s">
        <v>62</v>
      </c>
      <c r="B39" s="2" t="s">
        <v>36</v>
      </c>
      <c r="C39" s="2" t="s">
        <v>18</v>
      </c>
      <c r="D39" s="3">
        <v>1150000</v>
      </c>
      <c r="E39" s="4">
        <v>45483</v>
      </c>
      <c r="F39" s="2" t="s">
        <v>14</v>
      </c>
      <c r="G39" s="2" t="s">
        <v>63</v>
      </c>
      <c r="H39" t="str">
        <f t="shared" si="0"/>
        <v>Technical</v>
      </c>
    </row>
    <row r="40" spans="1:8">
      <c r="A40" s="2" t="s">
        <v>64</v>
      </c>
      <c r="B40" s="2" t="s">
        <v>30</v>
      </c>
      <c r="C40" s="2" t="s">
        <v>18</v>
      </c>
      <c r="D40" s="3">
        <v>800000</v>
      </c>
      <c r="E40" s="4">
        <v>45484</v>
      </c>
      <c r="F40" s="2" t="s">
        <v>14</v>
      </c>
      <c r="G40" s="2" t="s">
        <v>19</v>
      </c>
      <c r="H40" t="str">
        <f t="shared" si="0"/>
        <v>Compliance / Approval / Docs</v>
      </c>
    </row>
    <row r="41" spans="1:8">
      <c r="A41" s="2" t="s">
        <v>65</v>
      </c>
      <c r="B41" s="2" t="s">
        <v>17</v>
      </c>
      <c r="C41" s="2" t="s">
        <v>13</v>
      </c>
      <c r="D41" s="3">
        <v>2500000</v>
      </c>
      <c r="E41" s="4">
        <v>45485</v>
      </c>
      <c r="F41" s="2" t="s">
        <v>14</v>
      </c>
      <c r="G41" s="2" t="s">
        <v>24</v>
      </c>
      <c r="H41" t="str">
        <f t="shared" si="0"/>
        <v>Compliance / Approval / Docs</v>
      </c>
    </row>
    <row r="42" spans="1:8">
      <c r="A42" s="2" t="s">
        <v>66</v>
      </c>
      <c r="B42" s="2" t="s">
        <v>30</v>
      </c>
      <c r="C42" s="2" t="s">
        <v>18</v>
      </c>
      <c r="D42" s="3">
        <v>1650000</v>
      </c>
      <c r="E42" s="4">
        <v>45486</v>
      </c>
      <c r="F42" s="2" t="s">
        <v>14</v>
      </c>
      <c r="G42" s="2" t="s">
        <v>19</v>
      </c>
      <c r="H42" t="str">
        <f t="shared" si="0"/>
        <v>Compliance / Approval / Docs</v>
      </c>
    </row>
    <row r="43" spans="1:8">
      <c r="A43" s="2" t="s">
        <v>67</v>
      </c>
      <c r="B43" s="2" t="s">
        <v>30</v>
      </c>
      <c r="C43" s="2" t="s">
        <v>13</v>
      </c>
      <c r="D43" s="3">
        <v>1750000</v>
      </c>
      <c r="E43" s="4">
        <v>45487</v>
      </c>
      <c r="F43" s="2" t="s">
        <v>14</v>
      </c>
      <c r="G43" s="2" t="s">
        <v>19</v>
      </c>
      <c r="H43" t="str">
        <f t="shared" si="0"/>
        <v>Compliance / Approval / Docs</v>
      </c>
    </row>
    <row r="44" spans="1:8">
      <c r="A44" s="2" t="s">
        <v>68</v>
      </c>
      <c r="B44" s="2" t="s">
        <v>12</v>
      </c>
      <c r="C44" s="2" t="s">
        <v>18</v>
      </c>
      <c r="D44" s="3">
        <v>2500000</v>
      </c>
      <c r="E44" s="4">
        <v>45474</v>
      </c>
      <c r="F44" s="2" t="s">
        <v>14</v>
      </c>
      <c r="G44" s="2" t="s">
        <v>69</v>
      </c>
      <c r="H44" t="str">
        <f t="shared" si="0"/>
        <v>Other</v>
      </c>
    </row>
    <row r="45" spans="1:8">
      <c r="A45" s="2" t="s">
        <v>70</v>
      </c>
      <c r="B45" s="2" t="s">
        <v>30</v>
      </c>
      <c r="C45" s="2" t="s">
        <v>18</v>
      </c>
      <c r="D45" s="3">
        <v>1900000</v>
      </c>
      <c r="E45" s="4">
        <v>45475</v>
      </c>
      <c r="F45" s="2" t="s">
        <v>21</v>
      </c>
      <c r="G45" s="2" t="s">
        <v>22</v>
      </c>
      <c r="H45" t="str">
        <f t="shared" si="0"/>
        <v/>
      </c>
    </row>
    <row r="46" spans="1:8">
      <c r="A46" s="2" t="s">
        <v>71</v>
      </c>
      <c r="B46" s="2" t="s">
        <v>17</v>
      </c>
      <c r="C46" s="2" t="s">
        <v>18</v>
      </c>
      <c r="D46" s="3">
        <v>3100000</v>
      </c>
      <c r="E46" s="4">
        <v>45476</v>
      </c>
      <c r="F46" s="2" t="s">
        <v>14</v>
      </c>
      <c r="G46" s="2" t="s">
        <v>19</v>
      </c>
      <c r="H46" t="str">
        <f t="shared" si="0"/>
        <v>Compliance / Approval / Docs</v>
      </c>
    </row>
    <row r="47" spans="1:8">
      <c r="A47" s="2" t="s">
        <v>72</v>
      </c>
      <c r="B47" s="2" t="s">
        <v>12</v>
      </c>
      <c r="C47" s="2" t="s">
        <v>18</v>
      </c>
      <c r="D47" s="3">
        <v>750000</v>
      </c>
      <c r="E47" s="4">
        <v>45477</v>
      </c>
      <c r="F47" s="2" t="s">
        <v>21</v>
      </c>
      <c r="G47" s="2" t="s">
        <v>22</v>
      </c>
      <c r="H47" t="str">
        <f t="shared" si="0"/>
        <v/>
      </c>
    </row>
    <row r="48" spans="1:8">
      <c r="A48" s="2" t="s">
        <v>73</v>
      </c>
      <c r="B48" s="2" t="s">
        <v>12</v>
      </c>
      <c r="C48" s="2" t="s">
        <v>13</v>
      </c>
      <c r="D48" s="3">
        <v>2400000</v>
      </c>
      <c r="E48" s="4">
        <v>45478</v>
      </c>
      <c r="F48" s="2" t="s">
        <v>21</v>
      </c>
      <c r="G48" s="2" t="s">
        <v>22</v>
      </c>
      <c r="H48" t="str">
        <f t="shared" si="0"/>
        <v/>
      </c>
    </row>
    <row r="49" spans="1:8">
      <c r="A49" s="2" t="s">
        <v>74</v>
      </c>
      <c r="B49" s="2" t="s">
        <v>17</v>
      </c>
      <c r="C49" s="2" t="s">
        <v>13</v>
      </c>
      <c r="D49" s="3">
        <v>3300000</v>
      </c>
      <c r="E49" s="4">
        <v>45479</v>
      </c>
      <c r="F49" s="2" t="s">
        <v>14</v>
      </c>
      <c r="G49" s="2" t="s">
        <v>32</v>
      </c>
      <c r="H49" t="str">
        <f t="shared" si="0"/>
        <v>Compliance / Approval / Docs</v>
      </c>
    </row>
    <row r="50" spans="1:8">
      <c r="A50" s="2" t="s">
        <v>75</v>
      </c>
      <c r="B50" s="2" t="s">
        <v>30</v>
      </c>
      <c r="C50" s="2" t="s">
        <v>13</v>
      </c>
      <c r="D50" s="3">
        <v>2700000</v>
      </c>
      <c r="E50" s="4">
        <v>45480</v>
      </c>
      <c r="F50" s="2" t="s">
        <v>14</v>
      </c>
      <c r="G50" s="2" t="s">
        <v>19</v>
      </c>
      <c r="H50" t="str">
        <f t="shared" si="0"/>
        <v>Compliance / Approval / Docs</v>
      </c>
    </row>
    <row r="51" spans="1:8">
      <c r="A51" s="2" t="s">
        <v>76</v>
      </c>
      <c r="B51" s="2" t="s">
        <v>17</v>
      </c>
      <c r="C51" s="2" t="s">
        <v>13</v>
      </c>
      <c r="D51" s="3">
        <v>3000000</v>
      </c>
      <c r="E51" s="4">
        <v>45481</v>
      </c>
      <c r="F51" s="2" t="s">
        <v>14</v>
      </c>
      <c r="G51" s="2" t="s">
        <v>32</v>
      </c>
      <c r="H51" t="str">
        <f t="shared" si="0"/>
        <v>Compliance / Approval / Docs</v>
      </c>
    </row>
    <row r="52" spans="1:8">
      <c r="A52" s="2" t="s">
        <v>77</v>
      </c>
      <c r="B52" s="2" t="s">
        <v>30</v>
      </c>
      <c r="C52" s="2" t="s">
        <v>18</v>
      </c>
      <c r="D52" s="3">
        <v>3200000</v>
      </c>
      <c r="E52" s="4">
        <v>45482</v>
      </c>
      <c r="F52" s="2" t="s">
        <v>21</v>
      </c>
      <c r="G52" s="2" t="s">
        <v>22</v>
      </c>
      <c r="H52" t="str">
        <f t="shared" si="0"/>
        <v/>
      </c>
    </row>
    <row r="53" spans="1:8">
      <c r="A53" s="2" t="s">
        <v>78</v>
      </c>
      <c r="B53" s="2" t="s">
        <v>36</v>
      </c>
      <c r="C53" s="2" t="s">
        <v>13</v>
      </c>
      <c r="D53" s="3">
        <v>1300000</v>
      </c>
      <c r="E53" s="4">
        <v>45483</v>
      </c>
      <c r="F53" s="2" t="s">
        <v>14</v>
      </c>
      <c r="G53" s="2" t="s">
        <v>15</v>
      </c>
      <c r="H53" t="str">
        <f t="shared" si="0"/>
        <v>Funding</v>
      </c>
    </row>
    <row r="54" spans="1:8">
      <c r="A54" s="2" t="s">
        <v>79</v>
      </c>
      <c r="B54" s="2" t="s">
        <v>17</v>
      </c>
      <c r="C54" s="2" t="s">
        <v>18</v>
      </c>
      <c r="D54" s="3">
        <v>1150000</v>
      </c>
      <c r="E54" s="4">
        <v>45484</v>
      </c>
      <c r="F54" s="2" t="s">
        <v>14</v>
      </c>
      <c r="G54" s="2" t="s">
        <v>24</v>
      </c>
      <c r="H54" t="str">
        <f t="shared" si="0"/>
        <v>Compliance / Approval / Docs</v>
      </c>
    </row>
    <row r="55" spans="1:8">
      <c r="A55" s="2" t="s">
        <v>80</v>
      </c>
      <c r="B55" s="2" t="s">
        <v>17</v>
      </c>
      <c r="C55" s="2" t="s">
        <v>18</v>
      </c>
      <c r="D55" s="3">
        <v>1200000</v>
      </c>
      <c r="E55" s="4">
        <v>45485</v>
      </c>
      <c r="F55" s="2" t="s">
        <v>21</v>
      </c>
      <c r="G55" s="2" t="s">
        <v>22</v>
      </c>
      <c r="H55" t="str">
        <f t="shared" si="0"/>
        <v/>
      </c>
    </row>
    <row r="56" spans="1:8">
      <c r="A56" s="2" t="s">
        <v>81</v>
      </c>
      <c r="B56" s="2" t="s">
        <v>12</v>
      </c>
      <c r="C56" s="2" t="s">
        <v>13</v>
      </c>
      <c r="D56" s="3">
        <v>900000</v>
      </c>
      <c r="E56" s="4">
        <v>45486</v>
      </c>
      <c r="F56" s="2" t="s">
        <v>21</v>
      </c>
      <c r="G56" s="2" t="s">
        <v>22</v>
      </c>
      <c r="H56" t="str">
        <f t="shared" si="0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0126-6857-438B-A29E-2178F3347946}">
  <dimension ref="A1:B7"/>
  <sheetViews>
    <sheetView workbookViewId="0">
      <selection activeCell="C11" sqref="C11"/>
    </sheetView>
  </sheetViews>
  <sheetFormatPr defaultRowHeight="15"/>
  <cols>
    <col min="1" max="1" width="18.85546875" customWidth="1"/>
    <col min="2" max="2" width="15.42578125" customWidth="1"/>
    <col min="3" max="3" width="20.28515625" customWidth="1"/>
    <col min="4" max="4" width="16.7109375" customWidth="1"/>
    <col min="5" max="5" width="17.85546875" customWidth="1"/>
    <col min="6" max="6" width="16.5703125" customWidth="1"/>
    <col min="7" max="7" width="16.140625" customWidth="1"/>
  </cols>
  <sheetData>
    <row r="1" spans="1:2">
      <c r="A1" s="6" t="s">
        <v>82</v>
      </c>
      <c r="B1" s="7">
        <f>COUNTA('Trade Data'!A2:A56)</f>
        <v>55</v>
      </c>
    </row>
    <row r="2" spans="1:2">
      <c r="A2" s="8" t="s">
        <v>83</v>
      </c>
      <c r="B2" s="9">
        <f>COUNTIF('Trade Data'!F2:F56,"Pending")</f>
        <v>27</v>
      </c>
    </row>
    <row r="3" spans="1:2">
      <c r="A3" s="8" t="s">
        <v>84</v>
      </c>
      <c r="B3" s="9">
        <f>COUNTIF('Trade Data'!F2:F56,"Completed")</f>
        <v>28</v>
      </c>
    </row>
    <row r="4" spans="1:2">
      <c r="A4" s="8" t="s">
        <v>85</v>
      </c>
      <c r="B4" s="10">
        <f>SUM('Trade Data'!D2:D56)</f>
        <v>108750000</v>
      </c>
    </row>
    <row r="5" spans="1:2">
      <c r="A5" s="8" t="s">
        <v>86</v>
      </c>
      <c r="B5" s="10">
        <f>SUMIFS('Trade Data'!D2:D56,'Trade Data'!F2:F56,"Pending")</f>
        <v>53800000</v>
      </c>
    </row>
    <row r="6" spans="1:2">
      <c r="A6" s="8" t="s">
        <v>87</v>
      </c>
      <c r="B6" s="11">
        <f>B2/B1</f>
        <v>0.49090909090909091</v>
      </c>
    </row>
    <row r="7" spans="1:2">
      <c r="A7" s="12" t="s">
        <v>88</v>
      </c>
      <c r="B7" s="13">
        <f>B5/B4</f>
        <v>0.49471264367816092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6D2E-D9A9-400E-99F6-3D4BC4203AE1}">
  <dimension ref="A1:B8"/>
  <sheetViews>
    <sheetView workbookViewId="0">
      <selection activeCell="A4" sqref="A4"/>
    </sheetView>
  </sheetViews>
  <sheetFormatPr defaultRowHeight="15"/>
  <cols>
    <col min="1" max="2" width="15.28515625" bestFit="1" customWidth="1"/>
  </cols>
  <sheetData>
    <row r="1" spans="1:2">
      <c r="A1" s="14" t="s">
        <v>5</v>
      </c>
      <c r="B1" t="s">
        <v>14</v>
      </c>
    </row>
    <row r="3" spans="1:2">
      <c r="A3" s="14" t="s">
        <v>1</v>
      </c>
      <c r="B3" t="s">
        <v>89</v>
      </c>
    </row>
    <row r="4" spans="1:2">
      <c r="A4" t="s">
        <v>12</v>
      </c>
      <c r="B4" s="15">
        <v>16500000</v>
      </c>
    </row>
    <row r="5" spans="1:2">
      <c r="A5" t="s">
        <v>17</v>
      </c>
      <c r="B5" s="15">
        <v>27250000</v>
      </c>
    </row>
    <row r="6" spans="1:2">
      <c r="A6" t="s">
        <v>30</v>
      </c>
      <c r="B6" s="15">
        <v>6900000</v>
      </c>
    </row>
    <row r="7" spans="1:2">
      <c r="A7" t="s">
        <v>36</v>
      </c>
      <c r="B7" s="15">
        <v>3150000</v>
      </c>
    </row>
    <row r="8" spans="1:2">
      <c r="A8" t="s">
        <v>90</v>
      </c>
      <c r="B8" s="15">
        <v>53800000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DA52-57A0-484E-B62D-845745A9266B}">
  <dimension ref="A3:B8"/>
  <sheetViews>
    <sheetView workbookViewId="0">
      <selection activeCell="E8" sqref="E8"/>
    </sheetView>
  </sheetViews>
  <sheetFormatPr defaultRowHeight="15"/>
  <cols>
    <col min="1" max="1" width="27.5703125" bestFit="1" customWidth="1"/>
    <col min="2" max="3" width="15.28515625" bestFit="1" customWidth="1"/>
  </cols>
  <sheetData>
    <row r="3" spans="1:2">
      <c r="A3" s="14" t="s">
        <v>7</v>
      </c>
      <c r="B3" t="s">
        <v>89</v>
      </c>
    </row>
    <row r="4" spans="1:2">
      <c r="A4" t="s">
        <v>91</v>
      </c>
      <c r="B4" s="15">
        <v>43100000</v>
      </c>
    </row>
    <row r="5" spans="1:2">
      <c r="A5" t="s">
        <v>92</v>
      </c>
      <c r="B5" s="15">
        <v>7050000</v>
      </c>
    </row>
    <row r="6" spans="1:2">
      <c r="A6" t="s">
        <v>93</v>
      </c>
      <c r="B6" s="15">
        <v>2500000</v>
      </c>
    </row>
    <row r="7" spans="1:2">
      <c r="A7" t="s">
        <v>94</v>
      </c>
      <c r="B7" s="15">
        <v>1150000</v>
      </c>
    </row>
    <row r="8" spans="1:2">
      <c r="A8" t="s">
        <v>90</v>
      </c>
      <c r="B8" s="15">
        <v>53800000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549A-33F3-4492-B935-713FF6702D91}">
  <dimension ref="A1:P60"/>
  <sheetViews>
    <sheetView tabSelected="1" workbookViewId="0">
      <selection activeCell="A3" sqref="A3:B3"/>
    </sheetView>
  </sheetViews>
  <sheetFormatPr defaultRowHeight="15"/>
  <cols>
    <col min="2" max="3" width="11.42578125" bestFit="1" customWidth="1"/>
    <col min="7" max="7" width="11.42578125" customWidth="1"/>
    <col min="10" max="10" width="16.28515625" customWidth="1"/>
    <col min="11" max="11" width="14.85546875" customWidth="1"/>
  </cols>
  <sheetData>
    <row r="1" spans="1:16" ht="23.25">
      <c r="F1" s="40" t="s">
        <v>95</v>
      </c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>
      <c r="A2" s="28" t="s">
        <v>96</v>
      </c>
      <c r="B2" s="29"/>
      <c r="C2" s="29"/>
      <c r="D2" s="29"/>
      <c r="E2" s="17"/>
      <c r="F2" s="17"/>
    </row>
    <row r="3" spans="1:16">
      <c r="A3" s="16" t="s">
        <v>4</v>
      </c>
      <c r="B3" s="30">
        <v>46366</v>
      </c>
    </row>
    <row r="4" spans="1:16">
      <c r="A4" s="18" t="s">
        <v>97</v>
      </c>
      <c r="B4" s="18"/>
      <c r="C4" s="18"/>
      <c r="D4" s="18"/>
      <c r="E4" s="18"/>
      <c r="F4" s="18"/>
      <c r="G4" s="27"/>
    </row>
    <row r="6" spans="1:16" ht="21">
      <c r="A6" s="19" t="s">
        <v>98</v>
      </c>
    </row>
    <row r="7" spans="1:16">
      <c r="A7" t="s">
        <v>99</v>
      </c>
    </row>
    <row r="9" spans="1:16">
      <c r="A9" s="21" t="s">
        <v>100</v>
      </c>
      <c r="B9" s="22"/>
    </row>
    <row r="10" spans="1:16">
      <c r="A10" s="23" t="s">
        <v>101</v>
      </c>
      <c r="B10" s="24"/>
    </row>
    <row r="11" spans="1:16">
      <c r="A11" s="23" t="s">
        <v>102</v>
      </c>
      <c r="B11" s="24"/>
    </row>
    <row r="12" spans="1:16">
      <c r="A12" s="25" t="s">
        <v>103</v>
      </c>
      <c r="B12" s="26"/>
    </row>
    <row r="14" spans="1:16" ht="23.25">
      <c r="A14" s="20" t="s">
        <v>104</v>
      </c>
    </row>
    <row r="48" spans="1:1" ht="23.25">
      <c r="A48" s="20" t="s">
        <v>105</v>
      </c>
    </row>
    <row r="50" spans="1:9">
      <c r="A50" s="31" t="s">
        <v>106</v>
      </c>
      <c r="B50" s="32"/>
      <c r="C50" s="32"/>
      <c r="D50" s="32"/>
      <c r="E50" s="32"/>
      <c r="F50" s="32"/>
      <c r="G50" s="32"/>
      <c r="H50" s="32"/>
      <c r="I50" s="33"/>
    </row>
    <row r="51" spans="1:9">
      <c r="A51" s="34" t="s">
        <v>107</v>
      </c>
      <c r="B51" s="35"/>
      <c r="C51" s="35"/>
      <c r="D51" s="35"/>
      <c r="E51" s="35"/>
      <c r="F51" s="35"/>
      <c r="G51" s="35"/>
      <c r="H51" s="35"/>
      <c r="I51" s="36"/>
    </row>
    <row r="52" spans="1:9">
      <c r="A52" s="34" t="s">
        <v>108</v>
      </c>
      <c r="B52" s="35"/>
      <c r="C52" s="35"/>
      <c r="D52" s="35"/>
      <c r="E52" s="35"/>
      <c r="F52" s="35"/>
      <c r="G52" s="35"/>
      <c r="H52" s="35"/>
      <c r="I52" s="36"/>
    </row>
    <row r="53" spans="1:9">
      <c r="A53" s="34" t="s">
        <v>109</v>
      </c>
      <c r="B53" s="35"/>
      <c r="C53" s="35"/>
      <c r="D53" s="35"/>
      <c r="E53" s="35"/>
      <c r="F53" s="35"/>
      <c r="G53" s="35"/>
      <c r="H53" s="35"/>
      <c r="I53" s="36"/>
    </row>
    <row r="54" spans="1:9">
      <c r="A54" s="37" t="s">
        <v>110</v>
      </c>
      <c r="B54" s="38"/>
      <c r="C54" s="38"/>
      <c r="D54" s="38"/>
      <c r="E54" s="38"/>
      <c r="F54" s="38"/>
      <c r="G54" s="38"/>
      <c r="H54" s="38"/>
      <c r="I54" s="39"/>
    </row>
    <row r="56" spans="1:9" ht="21">
      <c r="A56" s="19" t="s">
        <v>111</v>
      </c>
    </row>
    <row r="58" spans="1:9">
      <c r="A58" s="31" t="s">
        <v>112</v>
      </c>
      <c r="B58" s="32"/>
      <c r="C58" s="32"/>
      <c r="D58" s="32"/>
      <c r="E58" s="32"/>
      <c r="F58" s="32"/>
      <c r="G58" s="33"/>
    </row>
    <row r="59" spans="1:9">
      <c r="A59" s="34" t="s">
        <v>113</v>
      </c>
      <c r="B59" s="35"/>
      <c r="C59" s="35"/>
      <c r="D59" s="35"/>
      <c r="E59" s="35"/>
      <c r="F59" s="35"/>
      <c r="G59" s="36"/>
    </row>
    <row r="60" spans="1:9">
      <c r="A60" s="37" t="s">
        <v>114</v>
      </c>
      <c r="B60" s="38"/>
      <c r="C60" s="38"/>
      <c r="D60" s="38"/>
      <c r="E60" s="38"/>
      <c r="F60" s="38"/>
      <c r="G60" s="39"/>
    </row>
  </sheetData>
  <mergeCells count="9">
    <mergeCell ref="F1:P1"/>
    <mergeCell ref="A58:G58"/>
    <mergeCell ref="A59:G59"/>
    <mergeCell ref="A60:G60"/>
    <mergeCell ref="A50:I50"/>
    <mergeCell ref="A51:I51"/>
    <mergeCell ref="A52:I52"/>
    <mergeCell ref="A53:I53"/>
    <mergeCell ref="A54:I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2026-10-11T10:07:34Z</dcterms:created>
  <dcterms:modified xsi:type="dcterms:W3CDTF">2026-10-11T19:40:56Z</dcterms:modified>
  <cp:category/>
  <cp:contentStatus/>
</cp:coreProperties>
</file>